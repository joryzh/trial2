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ojects\ProjectOne\"/>
    </mc:Choice>
  </mc:AlternateContent>
  <bookViews>
    <workbookView xWindow="0" yWindow="0" windowWidth="23040" windowHeight="9120" activeTab="6"/>
  </bookViews>
  <sheets>
    <sheet name="邮箱" sheetId="52" r:id="rId1"/>
    <sheet name="电话" sheetId="51" r:id="rId2"/>
    <sheet name="姓名" sheetId="50" r:id="rId3"/>
    <sheet name="部门" sheetId="4" r:id="rId4"/>
    <sheet name="Sheet1" sheetId="53" r:id="rId5"/>
    <sheet name="Sheet2" sheetId="54" r:id="rId6"/>
    <sheet name="Sheet3" sheetId="55" r:id="rId7"/>
  </sheets>
  <definedNames>
    <definedName name="_xlnm._FilterDatabase" localSheetId="4" hidden="1">Sheet1!$B$1:$F$1</definedName>
    <definedName name="_xlchart.0" hidden="1">Sheet2!$C$2:$C$18</definedName>
    <definedName name="_xlchart.1" hidden="1">Sheet2!$F$2</definedName>
    <definedName name="_xlchart.2" hidden="1">Sheet2!$F$3:$F$18</definedName>
    <definedName name="_xlchart.3" hidden="1">Sheet2!$C$2:$C$18</definedName>
    <definedName name="_xlchart.4" hidden="1">Sheet2!$E$2</definedName>
    <definedName name="_xlchart.5" hidden="1">Sheet2!$E$3:$E$18</definedName>
  </definedNames>
  <calcPr calcId="162913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54" l="1"/>
  <c r="F12" i="54"/>
  <c r="F7" i="54"/>
  <c r="F18" i="54"/>
  <c r="F4" i="54"/>
  <c r="F14" i="54"/>
  <c r="F5" i="54"/>
  <c r="F17" i="54"/>
  <c r="F6" i="54"/>
  <c r="F9" i="54"/>
  <c r="F13" i="54"/>
  <c r="F8" i="54"/>
  <c r="F15" i="54"/>
  <c r="F16" i="54"/>
  <c r="F3" i="54"/>
  <c r="F10" i="54"/>
  <c r="F17" i="53" l="1"/>
  <c r="F14" i="53"/>
  <c r="F6" i="53"/>
  <c r="F2" i="53"/>
  <c r="F16" i="53"/>
  <c r="F5" i="53"/>
  <c r="F13" i="53"/>
  <c r="F12" i="53"/>
  <c r="F4" i="53"/>
  <c r="F11" i="53"/>
  <c r="F15" i="53"/>
  <c r="F9" i="53"/>
  <c r="F7" i="53"/>
  <c r="F8" i="53"/>
  <c r="F10" i="53"/>
  <c r="F3" i="53"/>
</calcChain>
</file>

<file path=xl/sharedStrings.xml><?xml version="1.0" encoding="utf-8"?>
<sst xmlns="http://schemas.openxmlformats.org/spreadsheetml/2006/main" count="122" uniqueCount="71">
  <si>
    <t>陈晓艺</t>
  </si>
  <si>
    <t>陈可智</t>
  </si>
  <si>
    <t>刘婧迪</t>
  </si>
  <si>
    <t>张普</t>
  </si>
  <si>
    <t>原超</t>
  </si>
  <si>
    <t>张敏</t>
  </si>
  <si>
    <t>林英超</t>
  </si>
  <si>
    <t>梁丁予</t>
  </si>
  <si>
    <t>马启超</t>
  </si>
  <si>
    <t>高岩</t>
  </si>
  <si>
    <t>李浩</t>
  </si>
  <si>
    <t>王潇然（科技管理）</t>
  </si>
  <si>
    <t>李文智</t>
  </si>
  <si>
    <t>孔露婷</t>
  </si>
  <si>
    <t>马克</t>
  </si>
  <si>
    <t>刘珊珊</t>
  </si>
  <si>
    <t>加微信</t>
  </si>
  <si>
    <t>chenxiaoyi@cmdc.chinamobile.com</t>
  </si>
  <si>
    <t>liujingdi@chinamobile.com</t>
  </si>
  <si>
    <t>zhangpujs@chinamobile.com</t>
  </si>
  <si>
    <t>yuanchao2@cmss.chinamobile.com</t>
  </si>
  <si>
    <t>zhangminyjy@chinamobile.com</t>
  </si>
  <si>
    <t>linyingchao@chinamobile.com</t>
  </si>
  <si>
    <t>gaoyan@cmdc.chinamobile.com</t>
  </si>
  <si>
    <t>lihaowx@chinamobile.com</t>
  </si>
  <si>
    <t>15601399007@139.com</t>
  </si>
  <si>
    <t>liwenzhijs@chinamobile.com</t>
  </si>
  <si>
    <t>kongluting@chinamobile.com</t>
  </si>
  <si>
    <t>liushanshanyjy@chinamobile.com</t>
  </si>
  <si>
    <t>研究院</t>
    <phoneticPr fontId="2" type="noConversion"/>
  </si>
  <si>
    <t>品质部</t>
    <phoneticPr fontId="2" type="noConversion"/>
  </si>
  <si>
    <t>品质部</t>
    <phoneticPr fontId="2" type="noConversion"/>
  </si>
  <si>
    <t>集团技术部</t>
    <phoneticPr fontId="2" type="noConversion"/>
  </si>
  <si>
    <t>研究院</t>
    <phoneticPr fontId="2" type="noConversion"/>
  </si>
  <si>
    <t>投资公司</t>
    <phoneticPr fontId="2" type="noConversion"/>
  </si>
  <si>
    <t>终端公司技术部</t>
    <phoneticPr fontId="2" type="noConversion"/>
  </si>
  <si>
    <t>集团计划部</t>
    <phoneticPr fontId="2" type="noConversion"/>
  </si>
  <si>
    <t>终端公司技术部</t>
    <phoneticPr fontId="2" type="noConversion"/>
  </si>
  <si>
    <t>研究院</t>
    <phoneticPr fontId="2" type="noConversion"/>
  </si>
  <si>
    <t>研究院</t>
    <phoneticPr fontId="2" type="noConversion"/>
  </si>
  <si>
    <t>go to 电话</t>
  </si>
  <si>
    <t>王潇然</t>
    <phoneticPr fontId="2" type="noConversion"/>
  </si>
  <si>
    <t>姓名</t>
    <phoneticPr fontId="2" type="noConversion"/>
  </si>
  <si>
    <t>rank</t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</si>
  <si>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rank</t>
    </r>
    <phoneticPr fontId="2" type="noConversion"/>
  </si>
  <si>
    <t>srank</t>
    <phoneticPr fontId="2" type="noConversion"/>
  </si>
  <si>
    <t>行标签</t>
  </si>
  <si>
    <t>总计</t>
  </si>
  <si>
    <t>计数项:姓名</t>
  </si>
  <si>
    <t>delta</t>
    <phoneticPr fontId="2" type="noConversion"/>
  </si>
  <si>
    <r>
      <t>am</t>
    </r>
    <r>
      <rPr>
        <sz val="11"/>
        <color theme="1"/>
        <rFont val="宋体"/>
        <family val="3"/>
        <charset val="134"/>
        <scheme val="minor"/>
      </rPr>
      <t>ount</t>
    </r>
    <phoneticPr fontId="2" type="noConversion"/>
  </si>
  <si>
    <r>
      <t>p</t>
    </r>
    <r>
      <rPr>
        <sz val="11"/>
        <color theme="1"/>
        <rFont val="宋体"/>
        <family val="3"/>
        <charset val="134"/>
        <scheme val="minor"/>
      </rPr>
      <t>ercentile</t>
    </r>
    <phoneticPr fontId="6" type="noConversion"/>
  </si>
  <si>
    <t>amount1</t>
    <phoneticPr fontId="2" type="noConversion"/>
  </si>
  <si>
    <r>
      <t>m</t>
    </r>
    <r>
      <rPr>
        <sz val="11"/>
        <color theme="1"/>
        <rFont val="宋体"/>
        <family val="3"/>
        <charset val="134"/>
        <scheme val="minor"/>
      </rPr>
      <t>onth</t>
    </r>
    <phoneticPr fontId="6" type="noConversion"/>
  </si>
  <si>
    <r>
      <t>J</t>
    </r>
    <r>
      <rPr>
        <sz val="11"/>
        <color theme="1"/>
        <rFont val="宋体"/>
        <family val="3"/>
        <charset val="134"/>
        <scheme val="minor"/>
      </rPr>
      <t>an</t>
    </r>
    <phoneticPr fontId="6" type="noConversion"/>
  </si>
  <si>
    <r>
      <t>F</t>
    </r>
    <r>
      <rPr>
        <sz val="11"/>
        <color theme="1"/>
        <rFont val="宋体"/>
        <family val="3"/>
        <charset val="134"/>
        <scheme val="minor"/>
      </rPr>
      <t>eb</t>
    </r>
    <phoneticPr fontId="6" type="noConversion"/>
  </si>
  <si>
    <r>
      <t>Mar</t>
    </r>
    <r>
      <rPr>
        <sz val="11"/>
        <color theme="1"/>
        <rFont val="宋体"/>
        <family val="3"/>
        <charset val="134"/>
        <scheme val="minor"/>
      </rPr>
      <t/>
    </r>
  </si>
  <si>
    <r>
      <t>Apr</t>
    </r>
    <r>
      <rPr>
        <sz val="11"/>
        <color theme="1"/>
        <rFont val="宋体"/>
        <family val="3"/>
        <charset val="134"/>
        <scheme val="minor"/>
      </rPr>
      <t/>
    </r>
  </si>
  <si>
    <r>
      <t>May</t>
    </r>
    <r>
      <rPr>
        <sz val="11"/>
        <color theme="1"/>
        <rFont val="宋体"/>
        <family val="3"/>
        <charset val="134"/>
        <scheme val="minor"/>
      </rPr>
      <t/>
    </r>
  </si>
  <si>
    <r>
      <t>Jun</t>
    </r>
    <r>
      <rPr>
        <sz val="11"/>
        <color theme="1"/>
        <rFont val="宋体"/>
        <family val="3"/>
        <charset val="134"/>
        <scheme val="minor"/>
      </rPr>
      <t/>
    </r>
  </si>
  <si>
    <r>
      <t>Jul</t>
    </r>
    <r>
      <rPr>
        <sz val="11"/>
        <color theme="1"/>
        <rFont val="宋体"/>
        <family val="3"/>
        <charset val="134"/>
        <scheme val="minor"/>
      </rPr>
      <t/>
    </r>
  </si>
  <si>
    <r>
      <t>Aug</t>
    </r>
    <r>
      <rPr>
        <sz val="11"/>
        <color theme="1"/>
        <rFont val="宋体"/>
        <family val="3"/>
        <charset val="134"/>
        <scheme val="minor"/>
      </rPr>
      <t/>
    </r>
  </si>
  <si>
    <r>
      <t>Sep</t>
    </r>
    <r>
      <rPr>
        <sz val="11"/>
        <color theme="1"/>
        <rFont val="宋体"/>
        <family val="3"/>
        <charset val="134"/>
        <scheme val="minor"/>
      </rPr>
      <t/>
    </r>
  </si>
  <si>
    <r>
      <t>Oct</t>
    </r>
    <r>
      <rPr>
        <sz val="11"/>
        <color theme="1"/>
        <rFont val="宋体"/>
        <family val="3"/>
        <charset val="134"/>
        <scheme val="minor"/>
      </rPr>
      <t/>
    </r>
  </si>
  <si>
    <r>
      <t>Nov</t>
    </r>
    <r>
      <rPr>
        <sz val="11"/>
        <color theme="1"/>
        <rFont val="宋体"/>
        <family val="3"/>
        <charset val="134"/>
        <scheme val="minor"/>
      </rPr>
      <t/>
    </r>
  </si>
  <si>
    <r>
      <t>Dec</t>
    </r>
    <r>
      <rPr>
        <sz val="11"/>
        <color theme="1"/>
        <rFont val="宋体"/>
        <family val="3"/>
        <charset val="134"/>
        <scheme val="minor"/>
      </rPr>
      <t/>
    </r>
  </si>
  <si>
    <r>
      <t>t</t>
    </r>
    <r>
      <rPr>
        <sz val="11"/>
        <color theme="1"/>
        <rFont val="宋体"/>
        <family val="3"/>
        <charset val="134"/>
        <scheme val="minor"/>
      </rPr>
      <t>eam1</t>
    </r>
    <phoneticPr fontId="6" type="noConversion"/>
  </si>
  <si>
    <r>
      <t>t</t>
    </r>
    <r>
      <rPr>
        <sz val="11"/>
        <color theme="1"/>
        <rFont val="宋体"/>
        <family val="3"/>
        <charset val="134"/>
        <scheme val="minor"/>
      </rPr>
      <t>eam2</t>
    </r>
    <r>
      <rPr>
        <sz val="11"/>
        <color theme="1"/>
        <rFont val="宋体"/>
        <family val="2"/>
        <charset val="134"/>
        <scheme val="minor"/>
      </rPr>
      <t/>
    </r>
  </si>
  <si>
    <r>
      <t>t</t>
    </r>
    <r>
      <rPr>
        <sz val="11"/>
        <color theme="1"/>
        <rFont val="宋体"/>
        <family val="3"/>
        <charset val="134"/>
        <scheme val="minor"/>
      </rPr>
      <t>eam3</t>
    </r>
    <r>
      <rPr>
        <sz val="11"/>
        <color theme="1"/>
        <rFont val="宋体"/>
        <family val="2"/>
        <charset val="134"/>
        <scheme val="minor"/>
      </rPr>
      <t/>
    </r>
  </si>
  <si>
    <r>
      <t>t</t>
    </r>
    <r>
      <rPr>
        <sz val="11"/>
        <color theme="1"/>
        <rFont val="宋体"/>
        <family val="3"/>
        <charset val="134"/>
        <scheme val="minor"/>
      </rPr>
      <t>eam4</t>
    </r>
    <r>
      <rPr>
        <sz val="11"/>
        <color theme="1"/>
        <rFont val="宋体"/>
        <family val="2"/>
        <charset val="134"/>
        <scheme val="minor"/>
      </rPr>
      <t/>
    </r>
  </si>
  <si>
    <r>
      <t>t</t>
    </r>
    <r>
      <rPr>
        <sz val="11"/>
        <color theme="1"/>
        <rFont val="宋体"/>
        <family val="3"/>
        <charset val="134"/>
        <scheme val="minor"/>
      </rPr>
      <t>eam5</t>
    </r>
    <r>
      <rPr>
        <sz val="11"/>
        <color theme="1"/>
        <rFont val="宋体"/>
        <family val="2"/>
        <charset val="134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</si>
</sst>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3" fillId="0" borderId="0" xfId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</cellXfs>
  <cellStyles count="2">
    <cellStyle name="常规" xfId="0" builtinId="0"/>
    <cellStyle name="超链接" xfId="1" builtinId="8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[excel1.xlsm]Sheet1!数据透视表2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Sheet1!$H$5</c:f>
              <c:strCache>
                <c:ptCount val="1"/>
                <c:pt idx="0">
                  <c:v>汇总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Sheet1!$G$6:$G$10</c:f>
              <c:strCach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strCache>
            </c:strRef>
          </c:cat>
          <c:val>
            <c:numRef>
              <c:f>Sheet1!$H$6:$H$10</c:f>
              <c:numCache>
                <c:formatCode>0.00%</c:formatCode>
                <c:ptCount val="4"/>
                <c:pt idx="0">
                  <c:v>0.3125</c:v>
                </c:pt>
                <c:pt idx="1">
                  <c:v>0.3125</c:v>
                </c:pt>
                <c:pt idx="2">
                  <c:v>0.1875</c:v>
                </c:pt>
                <c:pt idx="3">
                  <c:v>0.1875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D4-484C-AF1E-582B328FE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54192"/>
        <c:axId val="3151280"/>
      </c:barChart>
      <c:catAx>
        <c:axId val="315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51280"/>
        <c:crosses val="autoZero"/>
        <c:auto val="1"/>
        <c:lblAlgn val="ctr"/>
        <c:lblOffset val="100"/>
        <c:noMultiLvlLbl val="0"/>
      </c:catAx>
      <c:valAx>
        <c:axId val="315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5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rank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Sheet1!$B$2:$B$17</c:f>
              <c:strCache>
                <c:ptCount val="16"/>
                <c:pt idx="0">
                  <c:v>原超</c:v>
                </c:pt>
                <c:pt idx="1">
                  <c:v>陈晓艺</c:v>
                </c:pt>
                <c:pt idx="2">
                  <c:v>高岩</c:v>
                </c:pt>
                <c:pt idx="3">
                  <c:v>林英超</c:v>
                </c:pt>
                <c:pt idx="4">
                  <c:v>张普</c:v>
                </c:pt>
                <c:pt idx="5">
                  <c:v>孔露婷</c:v>
                </c:pt>
                <c:pt idx="6">
                  <c:v>马克</c:v>
                </c:pt>
                <c:pt idx="7">
                  <c:v>李文智</c:v>
                </c:pt>
                <c:pt idx="8">
                  <c:v>刘珊珊</c:v>
                </c:pt>
                <c:pt idx="9">
                  <c:v>李浩</c:v>
                </c:pt>
                <c:pt idx="10">
                  <c:v>马启超</c:v>
                </c:pt>
                <c:pt idx="11">
                  <c:v>梁丁予</c:v>
                </c:pt>
                <c:pt idx="12">
                  <c:v>刘婧迪</c:v>
                </c:pt>
                <c:pt idx="13">
                  <c:v>王潇然</c:v>
                </c:pt>
                <c:pt idx="14">
                  <c:v>张敏</c:v>
                </c:pt>
                <c:pt idx="15">
                  <c:v>陈可智</c:v>
                </c:pt>
              </c:strCache>
            </c:strRef>
          </c:cat>
          <c:val>
            <c:numRef>
              <c:f>Sheet1!$C$2:$C$17</c:f>
              <c:numCache>
                <c:formatCode>General</c:formatCode>
                <c:ptCount val="16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5</c:v>
                </c:pt>
                <c:pt idx="14">
                  <c:v>5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DC-4C7A-81E1-820C92C46707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brank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Sheet1!$B$2:$B$17</c:f>
              <c:strCache>
                <c:ptCount val="16"/>
                <c:pt idx="0">
                  <c:v>原超</c:v>
                </c:pt>
                <c:pt idx="1">
                  <c:v>陈晓艺</c:v>
                </c:pt>
                <c:pt idx="2">
                  <c:v>高岩</c:v>
                </c:pt>
                <c:pt idx="3">
                  <c:v>林英超</c:v>
                </c:pt>
                <c:pt idx="4">
                  <c:v>张普</c:v>
                </c:pt>
                <c:pt idx="5">
                  <c:v>孔露婷</c:v>
                </c:pt>
                <c:pt idx="6">
                  <c:v>马克</c:v>
                </c:pt>
                <c:pt idx="7">
                  <c:v>李文智</c:v>
                </c:pt>
                <c:pt idx="8">
                  <c:v>刘珊珊</c:v>
                </c:pt>
                <c:pt idx="9">
                  <c:v>李浩</c:v>
                </c:pt>
                <c:pt idx="10">
                  <c:v>马启超</c:v>
                </c:pt>
                <c:pt idx="11">
                  <c:v>梁丁予</c:v>
                </c:pt>
                <c:pt idx="12">
                  <c:v>刘婧迪</c:v>
                </c:pt>
                <c:pt idx="13">
                  <c:v>王潇然</c:v>
                </c:pt>
                <c:pt idx="14">
                  <c:v>张敏</c:v>
                </c:pt>
                <c:pt idx="15">
                  <c:v>陈可智</c:v>
                </c:pt>
              </c:strCache>
            </c:strRef>
          </c:cat>
          <c:val>
            <c:numRef>
              <c:f>Sheet1!$D$2:$D$17</c:f>
              <c:numCache>
                <c:formatCode>General</c:formatCode>
                <c:ptCount val="1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DC-4C7A-81E1-820C92C46707}"/>
            </c:ext>
          </c:extLst>
        </c:ser>
        <c:ser>
          <c:idx val="2"/>
          <c:order val="2"/>
          <c:tx>
            <c:strRef>
              <c:f>Sheet1!$E$1</c:f>
              <c:strCache>
                <c:ptCount val="1"/>
                <c:pt idx="0">
                  <c:v>srank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Sheet1!$B$2:$B$17</c:f>
              <c:strCache>
                <c:ptCount val="16"/>
                <c:pt idx="0">
                  <c:v>原超</c:v>
                </c:pt>
                <c:pt idx="1">
                  <c:v>陈晓艺</c:v>
                </c:pt>
                <c:pt idx="2">
                  <c:v>高岩</c:v>
                </c:pt>
                <c:pt idx="3">
                  <c:v>林英超</c:v>
                </c:pt>
                <c:pt idx="4">
                  <c:v>张普</c:v>
                </c:pt>
                <c:pt idx="5">
                  <c:v>孔露婷</c:v>
                </c:pt>
                <c:pt idx="6">
                  <c:v>马克</c:v>
                </c:pt>
                <c:pt idx="7">
                  <c:v>李文智</c:v>
                </c:pt>
                <c:pt idx="8">
                  <c:v>刘珊珊</c:v>
                </c:pt>
                <c:pt idx="9">
                  <c:v>李浩</c:v>
                </c:pt>
                <c:pt idx="10">
                  <c:v>马启超</c:v>
                </c:pt>
                <c:pt idx="11">
                  <c:v>梁丁予</c:v>
                </c:pt>
                <c:pt idx="12">
                  <c:v>刘婧迪</c:v>
                </c:pt>
                <c:pt idx="13">
                  <c:v>王潇然</c:v>
                </c:pt>
                <c:pt idx="14">
                  <c:v>张敏</c:v>
                </c:pt>
                <c:pt idx="15">
                  <c:v>陈可智</c:v>
                </c:pt>
              </c:strCache>
            </c:strRef>
          </c:cat>
          <c:val>
            <c:numRef>
              <c:f>Sheet1!$E$2:$E$17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5</c:v>
                </c:pt>
                <c:pt idx="10">
                  <c:v>5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DC-4C7A-81E1-820C92C46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22974432"/>
        <c:axId val="122973184"/>
      </c:barChart>
      <c:lineChart>
        <c:grouping val="standard"/>
        <c:varyColors val="0"/>
        <c:ser>
          <c:idx val="3"/>
          <c:order val="3"/>
          <c:tx>
            <c:strRef>
              <c:f>Sheet1!$F$1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Sheet1!$B$2:$B$17</c:f>
              <c:strCache>
                <c:ptCount val="16"/>
                <c:pt idx="0">
                  <c:v>原超</c:v>
                </c:pt>
                <c:pt idx="1">
                  <c:v>陈晓艺</c:v>
                </c:pt>
                <c:pt idx="2">
                  <c:v>高岩</c:v>
                </c:pt>
                <c:pt idx="3">
                  <c:v>林英超</c:v>
                </c:pt>
                <c:pt idx="4">
                  <c:v>张普</c:v>
                </c:pt>
                <c:pt idx="5">
                  <c:v>孔露婷</c:v>
                </c:pt>
                <c:pt idx="6">
                  <c:v>马克</c:v>
                </c:pt>
                <c:pt idx="7">
                  <c:v>李文智</c:v>
                </c:pt>
                <c:pt idx="8">
                  <c:v>刘珊珊</c:v>
                </c:pt>
                <c:pt idx="9">
                  <c:v>李浩</c:v>
                </c:pt>
                <c:pt idx="10">
                  <c:v>马启超</c:v>
                </c:pt>
                <c:pt idx="11">
                  <c:v>梁丁予</c:v>
                </c:pt>
                <c:pt idx="12">
                  <c:v>刘婧迪</c:v>
                </c:pt>
                <c:pt idx="13">
                  <c:v>王潇然</c:v>
                </c:pt>
                <c:pt idx="14">
                  <c:v>张敏</c:v>
                </c:pt>
                <c:pt idx="15">
                  <c:v>陈可智</c:v>
                </c:pt>
              </c:strCache>
            </c:strRef>
          </c:cat>
          <c:val>
            <c:numRef>
              <c:f>Sheet1!$F$2:$F$17</c:f>
              <c:numCache>
                <c:formatCode>General</c:formatCode>
                <c:ptCount val="16"/>
                <c:pt idx="0">
                  <c:v>0.57735026918962473</c:v>
                </c:pt>
                <c:pt idx="1">
                  <c:v>0.57735026918962473</c:v>
                </c:pt>
                <c:pt idx="2">
                  <c:v>0.57735026918962473</c:v>
                </c:pt>
                <c:pt idx="3">
                  <c:v>0.57735026918962629</c:v>
                </c:pt>
                <c:pt idx="4">
                  <c:v>0.57735026918962629</c:v>
                </c:pt>
                <c:pt idx="5">
                  <c:v>0.57735026918962629</c:v>
                </c:pt>
                <c:pt idx="6">
                  <c:v>0.57735026918962784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1.154700538379251</c:v>
                </c:pt>
                <c:pt idx="12">
                  <c:v>1.154700538379251</c:v>
                </c:pt>
                <c:pt idx="13">
                  <c:v>1.5275252316519463</c:v>
                </c:pt>
                <c:pt idx="14">
                  <c:v>1.5275252316519463</c:v>
                </c:pt>
                <c:pt idx="15">
                  <c:v>1.7320508075688772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DDC-4C7A-81E1-820C92C46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283344"/>
        <c:axId val="120282928"/>
      </c:lineChart>
      <c:catAx>
        <c:axId val="12297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73184"/>
        <c:crosses val="autoZero"/>
        <c:auto val="1"/>
        <c:lblAlgn val="ctr"/>
        <c:lblOffset val="100"/>
        <c:noMultiLvlLbl val="0"/>
      </c:catAx>
      <c:valAx>
        <c:axId val="12297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974432"/>
        <c:crosses val="autoZero"/>
        <c:crossBetween val="between"/>
      </c:valAx>
      <c:valAx>
        <c:axId val="120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0283344"/>
        <c:crosses val="max"/>
        <c:crossBetween val="between"/>
      </c:valAx>
      <c:catAx>
        <c:axId val="120283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282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Sheet2!$D$2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Sheet2!$C$3:$C$18</c:f>
              <c:strCache>
                <c:ptCount val="16"/>
                <c:pt idx="0">
                  <c:v>陈可智</c:v>
                </c:pt>
                <c:pt idx="1">
                  <c:v>孔露婷</c:v>
                </c:pt>
                <c:pt idx="2">
                  <c:v>李文智</c:v>
                </c:pt>
                <c:pt idx="3">
                  <c:v>李浩</c:v>
                </c:pt>
                <c:pt idx="4">
                  <c:v>林英超</c:v>
                </c:pt>
                <c:pt idx="5">
                  <c:v>刘婧迪</c:v>
                </c:pt>
                <c:pt idx="6">
                  <c:v>马启超</c:v>
                </c:pt>
                <c:pt idx="7">
                  <c:v>原超</c:v>
                </c:pt>
                <c:pt idx="8">
                  <c:v>陈晓艺</c:v>
                </c:pt>
                <c:pt idx="9">
                  <c:v>高岩</c:v>
                </c:pt>
                <c:pt idx="10">
                  <c:v>梁丁予</c:v>
                </c:pt>
                <c:pt idx="11">
                  <c:v>马克</c:v>
                </c:pt>
                <c:pt idx="12">
                  <c:v>王潇然</c:v>
                </c:pt>
                <c:pt idx="13">
                  <c:v>张敏</c:v>
                </c:pt>
                <c:pt idx="14">
                  <c:v>刘珊珊</c:v>
                </c:pt>
                <c:pt idx="15">
                  <c:v>张普</c:v>
                </c:pt>
              </c:strCache>
            </c:strRef>
          </c:cat>
          <c:val>
            <c:numRef>
              <c:f>Sheet2!$D$3:$D$18</c:f>
              <c:numCache>
                <c:formatCode>General</c:formatCode>
                <c:ptCount val="1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7</c:v>
                </c:pt>
                <c:pt idx="1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80-43C2-BDD9-A4C9025E8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axId val="755910160"/>
        <c:axId val="755892272"/>
      </c:areaChart>
      <c:lineChart>
        <c:grouping val="standard"/>
        <c:varyColors val="0"/>
        <c:ser>
          <c:idx val="1"/>
          <c:order val="1"/>
          <c:tx>
            <c:strRef>
              <c:f>Sheet2!$E$2</c:f>
              <c:strCache>
                <c:ptCount val="1"/>
                <c:pt idx="0">
                  <c:v>amount1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Sheet2!$C$3:$C$18</c:f>
              <c:strCache>
                <c:ptCount val="16"/>
                <c:pt idx="0">
                  <c:v>陈可智</c:v>
                </c:pt>
                <c:pt idx="1">
                  <c:v>孔露婷</c:v>
                </c:pt>
                <c:pt idx="2">
                  <c:v>李文智</c:v>
                </c:pt>
                <c:pt idx="3">
                  <c:v>李浩</c:v>
                </c:pt>
                <c:pt idx="4">
                  <c:v>林英超</c:v>
                </c:pt>
                <c:pt idx="5">
                  <c:v>刘婧迪</c:v>
                </c:pt>
                <c:pt idx="6">
                  <c:v>马启超</c:v>
                </c:pt>
                <c:pt idx="7">
                  <c:v>原超</c:v>
                </c:pt>
                <c:pt idx="8">
                  <c:v>陈晓艺</c:v>
                </c:pt>
                <c:pt idx="9">
                  <c:v>高岩</c:v>
                </c:pt>
                <c:pt idx="10">
                  <c:v>梁丁予</c:v>
                </c:pt>
                <c:pt idx="11">
                  <c:v>马克</c:v>
                </c:pt>
                <c:pt idx="12">
                  <c:v>王潇然</c:v>
                </c:pt>
                <c:pt idx="13">
                  <c:v>张敏</c:v>
                </c:pt>
                <c:pt idx="14">
                  <c:v>刘珊珊</c:v>
                </c:pt>
                <c:pt idx="15">
                  <c:v>张普</c:v>
                </c:pt>
              </c:strCache>
            </c:strRef>
          </c:cat>
          <c:val>
            <c:numRef>
              <c:f>Sheet2!$E$3:$E$18</c:f>
              <c:numCache>
                <c:formatCode>General</c:formatCode>
                <c:ptCount val="1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7</c:v>
                </c:pt>
                <c:pt idx="15">
                  <c:v>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D80-43C2-BDD9-A4C9025E8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910160"/>
        <c:axId val="755892272"/>
      </c:lineChart>
      <c:catAx>
        <c:axId val="75591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5892272"/>
        <c:crosses val="autoZero"/>
        <c:auto val="1"/>
        <c:lblAlgn val="ctr"/>
        <c:lblOffset val="100"/>
        <c:noMultiLvlLbl val="0"/>
      </c:catAx>
      <c:valAx>
        <c:axId val="75589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591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Sheet3!$C$2</c:f>
              <c:strCache>
                <c:ptCount val="1"/>
                <c:pt idx="0">
                  <c:v>team1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Sheet3!$B$3:$B$14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Sheet3!$C$3:$C$14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5-43F8-BB3E-2EFC2D62DC1D}"/>
            </c:ext>
          </c:extLst>
        </c:ser>
        <c:ser>
          <c:idx val="1"/>
          <c:order val="1"/>
          <c:tx>
            <c:strRef>
              <c:f>Sheet3!$D$2</c:f>
              <c:strCache>
                <c:ptCount val="1"/>
                <c:pt idx="0">
                  <c:v>team2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Sheet3!$B$3:$B$14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Sheet3!$D$3:$D$14</c:f>
              <c:numCache>
                <c:formatCode>General</c:formatCode>
                <c:ptCount val="12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5-43F8-BB3E-2EFC2D62DC1D}"/>
            </c:ext>
          </c:extLst>
        </c:ser>
        <c:ser>
          <c:idx val="2"/>
          <c:order val="2"/>
          <c:tx>
            <c:strRef>
              <c:f>Sheet3!$E$2</c:f>
              <c:strCache>
                <c:ptCount val="1"/>
                <c:pt idx="0">
                  <c:v>team3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Sheet3!$B$3:$B$14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Sheet3!$E$3:$E$14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C5-43F8-BB3E-2EFC2D62DC1D}"/>
            </c:ext>
          </c:extLst>
        </c:ser>
        <c:ser>
          <c:idx val="3"/>
          <c:order val="3"/>
          <c:tx>
            <c:strRef>
              <c:f>Sheet3!$F$2</c:f>
              <c:strCache>
                <c:ptCount val="1"/>
                <c:pt idx="0">
                  <c:v>team4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Sheet3!$B$3:$B$14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Sheet3!$F$3:$F$14</c:f>
              <c:numCache>
                <c:formatCode>General</c:formatCode>
                <c:ptCount val="12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C5-43F8-BB3E-2EFC2D62DC1D}"/>
            </c:ext>
          </c:extLst>
        </c:ser>
        <c:ser>
          <c:idx val="4"/>
          <c:order val="4"/>
          <c:tx>
            <c:strRef>
              <c:f>Sheet3!$G$2</c:f>
              <c:strCache>
                <c:ptCount val="1"/>
                <c:pt idx="0">
                  <c:v>team5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Ref>
              <c:f>Sheet3!$B$3:$B$14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Sheet3!$G$3:$G$14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C5-43F8-BB3E-2EFC2D62D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563792"/>
        <c:axId val="772580432"/>
      </c:areaChart>
      <c:catAx>
        <c:axId val="77256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2580432"/>
        <c:crosses val="autoZero"/>
        <c:auto val="1"/>
        <c:lblAlgn val="ctr"/>
        <c:lblOffset val="100"/>
        <c:noMultiLvlLbl val="0"/>
      </c:catAx>
      <c:valAx>
        <c:axId val="77258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2563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Sheet3!$C$2</c:f>
              <c:strCache>
                <c:ptCount val="1"/>
                <c:pt idx="0">
                  <c:v>team1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Sheet3!$B$3:$B$14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Sheet3!$C$3:$C$14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05-4201-9A3F-625E9A813D60}"/>
            </c:ext>
          </c:extLst>
        </c:ser>
        <c:ser>
          <c:idx val="1"/>
          <c:order val="1"/>
          <c:tx>
            <c:strRef>
              <c:f>Sheet3!$D$2</c:f>
              <c:strCache>
                <c:ptCount val="1"/>
                <c:pt idx="0">
                  <c:v>team2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Sheet3!$B$3:$B$14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Sheet3!$D$3:$D$14</c:f>
              <c:numCache>
                <c:formatCode>General</c:formatCode>
                <c:ptCount val="12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5-4201-9A3F-625E9A813D60}"/>
            </c:ext>
          </c:extLst>
        </c:ser>
        <c:ser>
          <c:idx val="2"/>
          <c:order val="2"/>
          <c:tx>
            <c:strRef>
              <c:f>Sheet3!$E$2</c:f>
              <c:strCache>
                <c:ptCount val="1"/>
                <c:pt idx="0">
                  <c:v>team3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Sheet3!$B$3:$B$14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Sheet3!$E$3:$E$14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05-4201-9A3F-625E9A813D60}"/>
            </c:ext>
          </c:extLst>
        </c:ser>
        <c:ser>
          <c:idx val="3"/>
          <c:order val="3"/>
          <c:tx>
            <c:strRef>
              <c:f>Sheet3!$F$2</c:f>
              <c:strCache>
                <c:ptCount val="1"/>
                <c:pt idx="0">
                  <c:v>team4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Sheet3!$B$3:$B$14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Sheet3!$F$3:$F$14</c:f>
              <c:numCache>
                <c:formatCode>General</c:formatCode>
                <c:ptCount val="12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05-4201-9A3F-625E9A813D60}"/>
            </c:ext>
          </c:extLst>
        </c:ser>
        <c:ser>
          <c:idx val="4"/>
          <c:order val="4"/>
          <c:tx>
            <c:strRef>
              <c:f>Sheet3!$G$2</c:f>
              <c:strCache>
                <c:ptCount val="1"/>
                <c:pt idx="0">
                  <c:v>team5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Ref>
              <c:f>Sheet3!$B$3:$B$14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Sheet3!$G$3:$G$14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05-4201-9A3F-625E9A813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axId val="777114704"/>
        <c:axId val="777107632"/>
      </c:areaChart>
      <c:catAx>
        <c:axId val="77711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7107632"/>
        <c:crosses val="autoZero"/>
        <c:auto val="1"/>
        <c:lblAlgn val="ctr"/>
        <c:lblOffset val="100"/>
        <c:noMultiLvlLbl val="0"/>
      </c:catAx>
      <c:valAx>
        <c:axId val="77710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7114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30005;&#35805;!C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556260</xdr:colOff>
      <xdr:row>18</xdr:row>
      <xdr:rowOff>106680</xdr:rowOff>
    </xdr:from>
    <xdr:to>
      <xdr:col>4</xdr:col>
      <xdr:colOff>274320</xdr:colOff>
      <xdr:row>20</xdr:row>
      <xdr:rowOff>76200</xdr:rowOff>
    </xdr:to>
    <xdr:sp macro="" textlink=""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1775460" y="3398520"/>
          <a:ext cx="937260" cy="33528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跳转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586740</xdr:colOff>
          <xdr:row>17</xdr:row>
          <xdr:rowOff>144780</xdr:rowOff>
        </xdr:from>
        <xdr:to>
          <xdr:col>10</xdr:col>
          <xdr:colOff>304800</xdr:colOff>
          <xdr:row>20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jump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403860</xdr:colOff>
          <xdr:row>8</xdr:row>
          <xdr:rowOff>53340</xdr:rowOff>
        </xdr:from>
        <xdr:to>
          <xdr:col>14</xdr:col>
          <xdr:colOff>243840</xdr:colOff>
          <xdr:row>9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144780</xdr:colOff>
      <xdr:row>1</xdr:row>
      <xdr:rowOff>133350</xdr:rowOff>
    </xdr:from>
    <xdr:to>
      <xdr:col>20</xdr:col>
      <xdr:colOff>472440</xdr:colOff>
      <xdr:row>18</xdr:row>
      <xdr:rowOff>114300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601980</xdr:colOff>
      <xdr:row>17</xdr:row>
      <xdr:rowOff>64770</xdr:rowOff>
    </xdr:from>
    <xdr:to>
      <xdr:col>7</xdr:col>
      <xdr:colOff>822960</xdr:colOff>
      <xdr:row>32</xdr:row>
      <xdr:rowOff>64770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518160</xdr:colOff>
      <xdr:row>2</xdr:row>
      <xdr:rowOff>34290</xdr:rowOff>
    </xdr:from>
    <xdr:to>
      <xdr:col>18</xdr:col>
      <xdr:colOff>152400</xdr:colOff>
      <xdr:row>24</xdr:row>
      <xdr:rowOff>22860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563880</xdr:colOff>
      <xdr:row>0</xdr:row>
      <xdr:rowOff>125730</xdr:rowOff>
    </xdr:from>
    <xdr:to>
      <xdr:col>17</xdr:col>
      <xdr:colOff>68580</xdr:colOff>
      <xdr:row>12</xdr:row>
      <xdr:rowOff>106680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502920</xdr:colOff>
      <xdr:row>12</xdr:row>
      <xdr:rowOff>163830</xdr:rowOff>
    </xdr:from>
    <xdr:to>
      <xdr:col>17</xdr:col>
      <xdr:colOff>91440</xdr:colOff>
      <xdr:row>28</xdr:row>
      <xdr:rowOff>38100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周敬" refreshedDate="45425.73079976852" createdVersion="6" refreshedVersion="6" minRefreshableVersion="3" recordCount="16">
  <cacheSource type="worksheet">
    <worksheetSource ref="B1:E17" sheet="Sheet1"/>
  </cacheSource>
  <cacheFields count="4">
    <cacheField name="姓名" numFmtId="0">
      <sharedItems count="16">
        <s v="陈晓艺"/>
        <s v="陈可智"/>
        <s v="刘婧迪"/>
        <s v="张普"/>
        <s v="原超"/>
        <s v="张敏"/>
        <s v="林英超"/>
        <s v="梁丁予"/>
        <s v="马启超"/>
        <s v="高岩"/>
        <s v="李浩"/>
        <s v="王潇然"/>
        <s v="李文智"/>
        <s v="孔露婷"/>
        <s v="马克"/>
        <s v="刘珊珊"/>
      </sharedItems>
    </cacheField>
    <cacheField name="rank" numFmtId="0">
      <sharedItems containsSemiMixedTypes="0" containsString="0" containsNumber="1" containsInteger="1" minValue="2" maxValue="5" count="4">
        <n v="4"/>
        <n v="2"/>
        <n v="3"/>
        <n v="5"/>
      </sharedItems>
    </cacheField>
    <cacheField name="brank" numFmtId="0">
      <sharedItems containsSemiMixedTypes="0" containsString="0" containsNumber="1" containsInteger="1" minValue="2" maxValue="5" count="4">
        <n v="4"/>
        <n v="5"/>
        <n v="3"/>
        <n v="2"/>
      </sharedItems>
    </cacheField>
    <cacheField name="srank" numFmtId="0">
      <sharedItems containsSemiMixedTypes="0" containsString="0" containsNumber="1" containsInteger="1" minValue="2" maxValue="5" count="4">
        <n v="3"/>
        <n v="5"/>
        <n v="2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x v="0"/>
    <x v="0"/>
    <x v="0"/>
  </r>
  <r>
    <x v="1"/>
    <x v="1"/>
    <x v="1"/>
    <x v="1"/>
  </r>
  <r>
    <x v="2"/>
    <x v="2"/>
    <x v="1"/>
    <x v="0"/>
  </r>
  <r>
    <x v="3"/>
    <x v="1"/>
    <x v="2"/>
    <x v="2"/>
  </r>
  <r>
    <x v="4"/>
    <x v="2"/>
    <x v="0"/>
    <x v="0"/>
  </r>
  <r>
    <x v="5"/>
    <x v="3"/>
    <x v="0"/>
    <x v="2"/>
  </r>
  <r>
    <x v="6"/>
    <x v="2"/>
    <x v="3"/>
    <x v="2"/>
  </r>
  <r>
    <x v="7"/>
    <x v="0"/>
    <x v="0"/>
    <x v="2"/>
  </r>
  <r>
    <x v="8"/>
    <x v="2"/>
    <x v="0"/>
    <x v="1"/>
  </r>
  <r>
    <x v="9"/>
    <x v="0"/>
    <x v="0"/>
    <x v="0"/>
  </r>
  <r>
    <x v="10"/>
    <x v="2"/>
    <x v="0"/>
    <x v="1"/>
  </r>
  <r>
    <x v="11"/>
    <x v="3"/>
    <x v="0"/>
    <x v="2"/>
  </r>
  <r>
    <x v="12"/>
    <x v="1"/>
    <x v="0"/>
    <x v="0"/>
  </r>
  <r>
    <x v="13"/>
    <x v="1"/>
    <x v="3"/>
    <x v="0"/>
  </r>
  <r>
    <x v="14"/>
    <x v="3"/>
    <x v="1"/>
    <x v="3"/>
  </r>
  <r>
    <x v="15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2">
  <location ref="G5:H10" firstHeaderRow="1" firstDataRow="1" firstDataCol="1"/>
  <pivotFields count="4">
    <pivotField dataField="1" showAll="0">
      <items count="17">
        <item x="1"/>
        <item x="0"/>
        <item x="9"/>
        <item x="13"/>
        <item x="10"/>
        <item x="12"/>
        <item x="7"/>
        <item x="6"/>
        <item x="2"/>
        <item x="15"/>
        <item x="14"/>
        <item x="8"/>
        <item x="11"/>
        <item x="4"/>
        <item x="5"/>
        <item x="3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>
      <items count="5">
        <item x="2"/>
        <item x="0"/>
        <item x="3"/>
        <item x="1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姓名" fld="0" subtotal="count" showDataAs="percentOfTotal" baseField="1" baseItem="0" numFmtId="10"/>
  </dataFields>
  <chartFormats count="1">
    <chartFormat chart="1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H20"/>
  <sheetViews>
    <sheetView workbookViewId="0">
      <selection activeCell="M21" sqref="M21"/>
    </sheetView>
  </sheetViews>
  <sheetFormatPr defaultRowHeight="14.4" x14ac:dyDescent="0.25"/>
  <cols>
    <col min="6" max="6" width="11.6640625" bestFit="1" customWidth="1"/>
  </cols>
  <sheetData>
    <row r="1" spans="4:8" x14ac:dyDescent="0.25">
      <c r="D1" t="s">
        <v>25</v>
      </c>
      <c r="H1" t="s">
        <v>19</v>
      </c>
    </row>
    <row r="2" spans="4:8" x14ac:dyDescent="0.25">
      <c r="D2" t="s">
        <v>17</v>
      </c>
      <c r="H2" t="s">
        <v>21</v>
      </c>
    </row>
    <row r="3" spans="4:8" x14ac:dyDescent="0.25">
      <c r="D3" t="s">
        <v>23</v>
      </c>
      <c r="H3" t="s">
        <v>20</v>
      </c>
    </row>
    <row r="4" spans="4:8" x14ac:dyDescent="0.25">
      <c r="D4" t="s">
        <v>27</v>
      </c>
      <c r="H4" t="s">
        <v>26</v>
      </c>
    </row>
    <row r="5" spans="4:8" x14ac:dyDescent="0.25">
      <c r="D5" t="s">
        <v>24</v>
      </c>
      <c r="H5" t="s">
        <v>28</v>
      </c>
    </row>
    <row r="6" spans="4:8" x14ac:dyDescent="0.25">
      <c r="D6" t="s">
        <v>22</v>
      </c>
      <c r="H6" t="s">
        <v>18</v>
      </c>
    </row>
    <row r="7" spans="4:8" x14ac:dyDescent="0.25">
      <c r="D7" t="s">
        <v>18</v>
      </c>
      <c r="H7" t="s">
        <v>22</v>
      </c>
    </row>
    <row r="8" spans="4:8" x14ac:dyDescent="0.25">
      <c r="D8" t="s">
        <v>28</v>
      </c>
      <c r="H8" t="s">
        <v>24</v>
      </c>
    </row>
    <row r="9" spans="4:8" x14ac:dyDescent="0.25">
      <c r="D9" t="s">
        <v>26</v>
      </c>
      <c r="H9" t="s">
        <v>27</v>
      </c>
    </row>
    <row r="10" spans="4:8" x14ac:dyDescent="0.25">
      <c r="D10" t="s">
        <v>20</v>
      </c>
      <c r="H10" t="s">
        <v>23</v>
      </c>
    </row>
    <row r="11" spans="4:8" x14ac:dyDescent="0.25">
      <c r="D11" t="s">
        <v>21</v>
      </c>
      <c r="H11" t="s">
        <v>17</v>
      </c>
    </row>
    <row r="12" spans="4:8" x14ac:dyDescent="0.25">
      <c r="D12" t="s">
        <v>19</v>
      </c>
      <c r="H12" t="s">
        <v>25</v>
      </c>
    </row>
    <row r="20" spans="6:6" x14ac:dyDescent="0.25">
      <c r="F20" s="1" t="s">
        <v>40</v>
      </c>
    </row>
  </sheetData>
  <sortState ref="D1:D1048576">
    <sortCondition ref="D1"/>
  </sortState>
  <phoneticPr fontId="2" type="noConversion"/>
  <conditionalFormatting sqref="D1:D1048576">
    <cfRule type="containsText" dxfId="5" priority="1" operator="containsText" text="cmdc">
      <formula>NOT(ISERROR(SEARCH("cmdc",D1)))</formula>
    </cfRule>
  </conditionalFormatting>
  <hyperlinks>
    <hyperlink ref="F20" location="电话!C1" display="go to 电话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按钮4_Click">
                <anchor moveWithCells="1" sizeWithCells="1">
                  <from>
                    <xdr:col>8</xdr:col>
                    <xdr:colOff>586740</xdr:colOff>
                    <xdr:row>17</xdr:row>
                    <xdr:rowOff>144780</xdr:rowOff>
                  </from>
                  <to>
                    <xdr:col>10</xdr:col>
                    <xdr:colOff>304800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宏7">
                <anchor moveWithCells="1">
                  <from>
                    <xdr:col>13</xdr:col>
                    <xdr:colOff>403860</xdr:colOff>
                    <xdr:row>8</xdr:row>
                    <xdr:rowOff>53340</xdr:rowOff>
                  </from>
                  <to>
                    <xdr:col>14</xdr:col>
                    <xdr:colOff>243840</xdr:colOff>
                    <xdr:row>9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D17"/>
  <sheetViews>
    <sheetView workbookViewId="0">
      <selection activeCell="G10" sqref="G10"/>
    </sheetView>
  </sheetViews>
  <sheetFormatPr defaultRowHeight="14.4" x14ac:dyDescent="0.25"/>
  <cols>
    <col min="3" max="4" width="12.77734375" bestFit="1" customWidth="1"/>
  </cols>
  <sheetData>
    <row r="1" spans="3:4" x14ac:dyDescent="0.25">
      <c r="C1">
        <v>13810553749</v>
      </c>
      <c r="D1">
        <v>13810032910</v>
      </c>
    </row>
    <row r="2" spans="3:4" x14ac:dyDescent="0.25">
      <c r="C2" t="s">
        <v>16</v>
      </c>
      <c r="D2">
        <v>13810042673</v>
      </c>
    </row>
    <row r="3" spans="3:4" x14ac:dyDescent="0.25">
      <c r="C3">
        <v>15901186125</v>
      </c>
      <c r="D3">
        <v>13810330273</v>
      </c>
    </row>
    <row r="4" spans="3:4" x14ac:dyDescent="0.25">
      <c r="C4">
        <v>13910450724</v>
      </c>
      <c r="D4">
        <v>13810553749</v>
      </c>
    </row>
    <row r="5" spans="3:4" x14ac:dyDescent="0.25">
      <c r="C5">
        <v>13811647971</v>
      </c>
      <c r="D5">
        <v>13810870553</v>
      </c>
    </row>
    <row r="6" spans="3:4" x14ac:dyDescent="0.25">
      <c r="C6">
        <v>13811423483</v>
      </c>
      <c r="D6">
        <v>13811423483</v>
      </c>
    </row>
    <row r="7" spans="3:4" x14ac:dyDescent="0.25">
      <c r="C7">
        <v>13810870553</v>
      </c>
      <c r="D7">
        <v>13811471418</v>
      </c>
    </row>
    <row r="8" spans="3:4" x14ac:dyDescent="0.25">
      <c r="C8">
        <v>15120048631</v>
      </c>
      <c r="D8">
        <v>13811647971</v>
      </c>
    </row>
    <row r="9" spans="3:4" x14ac:dyDescent="0.25">
      <c r="C9">
        <v>13811820854</v>
      </c>
      <c r="D9">
        <v>13811820854</v>
      </c>
    </row>
    <row r="10" spans="3:4" x14ac:dyDescent="0.25">
      <c r="C10">
        <v>13811471418</v>
      </c>
      <c r="D10">
        <v>13910450724</v>
      </c>
    </row>
    <row r="11" spans="3:4" x14ac:dyDescent="0.25">
      <c r="C11">
        <v>18811189686</v>
      </c>
      <c r="D11">
        <v>13911774183</v>
      </c>
    </row>
    <row r="12" spans="3:4" x14ac:dyDescent="0.25">
      <c r="C12">
        <v>15601399007</v>
      </c>
      <c r="D12">
        <v>15120048631</v>
      </c>
    </row>
    <row r="13" spans="3:4" x14ac:dyDescent="0.25">
      <c r="C13">
        <v>13810042673</v>
      </c>
      <c r="D13">
        <v>15601399007</v>
      </c>
    </row>
    <row r="14" spans="3:4" x14ac:dyDescent="0.25">
      <c r="C14">
        <v>13911774183</v>
      </c>
      <c r="D14">
        <v>15901186125</v>
      </c>
    </row>
    <row r="15" spans="3:4" x14ac:dyDescent="0.25">
      <c r="C15">
        <v>13810032910</v>
      </c>
      <c r="D15">
        <v>18811189686</v>
      </c>
    </row>
    <row r="16" spans="3:4" x14ac:dyDescent="0.25">
      <c r="C16">
        <v>13810330273</v>
      </c>
      <c r="D16" t="s">
        <v>17</v>
      </c>
    </row>
    <row r="17" spans="4:4" x14ac:dyDescent="0.25">
      <c r="D17" t="s">
        <v>17</v>
      </c>
    </row>
  </sheetData>
  <sortState ref="D1:D29">
    <sortCondition ref="D1"/>
  </sortState>
  <phoneticPr fontId="2" type="noConversion"/>
  <conditionalFormatting sqref="D1:D3 D9:D1048576">
    <cfRule type="containsText" dxfId="4" priority="4" operator="containsText" text="cmdc">
      <formula>NOT(ISERROR(SEARCH("cmdc",D1)))</formula>
    </cfRule>
    <cfRule type="containsText" dxfId="3" priority="5" operator="containsText" text="cmdc">
      <formula>NOT(ISERROR(SEARCH("cmdc",D1)))</formula>
    </cfRule>
  </conditionalFormatting>
  <conditionalFormatting sqref="D30:D1048576">
    <cfRule type="containsText" dxfId="2" priority="2" operator="containsText" text="cmdc">
      <formula>NOT(ISERROR(SEARCH("cmdc",D30)))</formula>
    </cfRule>
    <cfRule type="containsText" dxfId="1" priority="3" operator="containsText" text="cmdc">
      <formula>NOT(ISERROR(SEARCH("cmdc",D30)))</formula>
    </cfRule>
  </conditionalFormatting>
  <conditionalFormatting sqref="D1:D1048576">
    <cfRule type="containsText" dxfId="0" priority="1" operator="containsText" text="cmdc">
      <formula>NOT(ISERROR(SEARCH("cmdc",D1)))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16"/>
  <sheetViews>
    <sheetView workbookViewId="0">
      <selection activeCell="B1" sqref="B1:B16"/>
    </sheetView>
  </sheetViews>
  <sheetFormatPr defaultRowHeight="14.4" x14ac:dyDescent="0.25"/>
  <sheetData>
    <row r="1" spans="2:2" x14ac:dyDescent="0.25">
      <c r="B1" t="s">
        <v>0</v>
      </c>
    </row>
    <row r="2" spans="2:2" x14ac:dyDescent="0.25">
      <c r="B2" t="s">
        <v>1</v>
      </c>
    </row>
    <row r="3" spans="2:2" x14ac:dyDescent="0.25">
      <c r="B3" t="s">
        <v>2</v>
      </c>
    </row>
    <row r="4" spans="2:2" x14ac:dyDescent="0.25">
      <c r="B4" t="s">
        <v>3</v>
      </c>
    </row>
    <row r="5" spans="2:2" x14ac:dyDescent="0.25">
      <c r="B5" t="s">
        <v>4</v>
      </c>
    </row>
    <row r="6" spans="2:2" x14ac:dyDescent="0.25">
      <c r="B6" t="s">
        <v>5</v>
      </c>
    </row>
    <row r="7" spans="2:2" x14ac:dyDescent="0.25">
      <c r="B7" t="s">
        <v>6</v>
      </c>
    </row>
    <row r="8" spans="2:2" x14ac:dyDescent="0.25">
      <c r="B8" t="s">
        <v>7</v>
      </c>
    </row>
    <row r="9" spans="2:2" x14ac:dyDescent="0.25">
      <c r="B9" t="s">
        <v>8</v>
      </c>
    </row>
    <row r="10" spans="2:2" x14ac:dyDescent="0.25">
      <c r="B10" t="s">
        <v>9</v>
      </c>
    </row>
    <row r="11" spans="2:2" x14ac:dyDescent="0.25">
      <c r="B11" t="s">
        <v>10</v>
      </c>
    </row>
    <row r="12" spans="2:2" x14ac:dyDescent="0.25">
      <c r="B12" t="s">
        <v>11</v>
      </c>
    </row>
    <row r="13" spans="2:2" x14ac:dyDescent="0.25">
      <c r="B13" t="s">
        <v>12</v>
      </c>
    </row>
    <row r="14" spans="2:2" x14ac:dyDescent="0.25">
      <c r="B14" t="s">
        <v>13</v>
      </c>
    </row>
    <row r="15" spans="2:2" x14ac:dyDescent="0.25">
      <c r="B15" t="s">
        <v>14</v>
      </c>
    </row>
    <row r="16" spans="2:2" x14ac:dyDescent="0.25">
      <c r="B16" t="s">
        <v>15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6"/>
  <sheetViews>
    <sheetView workbookViewId="0">
      <selection activeCell="C28" sqref="C28"/>
    </sheetView>
  </sheetViews>
  <sheetFormatPr defaultColWidth="9" defaultRowHeight="14.4" x14ac:dyDescent="0.25"/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32</v>
      </c>
    </row>
    <row r="5" spans="1:1" x14ac:dyDescent="0.25">
      <c r="A5" t="s">
        <v>32</v>
      </c>
    </row>
    <row r="6" spans="1:1" x14ac:dyDescent="0.25">
      <c r="A6" t="s">
        <v>29</v>
      </c>
    </row>
    <row r="7" spans="1:1" x14ac:dyDescent="0.25">
      <c r="A7" t="s">
        <v>29</v>
      </c>
    </row>
    <row r="8" spans="1:1" x14ac:dyDescent="0.25">
      <c r="A8" t="s">
        <v>33</v>
      </c>
    </row>
    <row r="9" spans="1:1" x14ac:dyDescent="0.25">
      <c r="A9" t="s">
        <v>34</v>
      </c>
    </row>
    <row r="10" spans="1:1" x14ac:dyDescent="0.25">
      <c r="A10" t="s">
        <v>35</v>
      </c>
    </row>
    <row r="11" spans="1:1" x14ac:dyDescent="0.25">
      <c r="A11" t="s">
        <v>36</v>
      </c>
    </row>
    <row r="12" spans="1:1" x14ac:dyDescent="0.25">
      <c r="A12" t="s">
        <v>37</v>
      </c>
    </row>
    <row r="13" spans="1:1" x14ac:dyDescent="0.25">
      <c r="A13" t="s">
        <v>32</v>
      </c>
    </row>
    <row r="14" spans="1:1" x14ac:dyDescent="0.25">
      <c r="A14" t="s">
        <v>38</v>
      </c>
    </row>
    <row r="15" spans="1:1" x14ac:dyDescent="0.25">
      <c r="A15" t="s">
        <v>29</v>
      </c>
    </row>
    <row r="16" spans="1:1" x14ac:dyDescent="0.25">
      <c r="A16" t="s">
        <v>39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7"/>
  <sheetViews>
    <sheetView workbookViewId="0">
      <selection activeCell="B1" sqref="B1:C17"/>
    </sheetView>
  </sheetViews>
  <sheetFormatPr defaultRowHeight="14.4" x14ac:dyDescent="0.25"/>
  <cols>
    <col min="6" max="6" width="15.33203125" customWidth="1"/>
    <col min="7" max="7" width="10.109375" customWidth="1"/>
    <col min="8" max="8" width="13.5546875" customWidth="1"/>
    <col min="9" max="10" width="15" customWidth="1"/>
    <col min="11" max="11" width="3.77734375" customWidth="1"/>
    <col min="12" max="12" width="5.77734375" customWidth="1"/>
    <col min="13" max="13" width="4.6640625" customWidth="1"/>
    <col min="14" max="15" width="2.6640625" customWidth="1"/>
    <col min="16" max="16" width="8" customWidth="1"/>
    <col min="17" max="17" width="4.6640625" customWidth="1"/>
    <col min="18" max="18" width="8" customWidth="1"/>
    <col min="19" max="19" width="4.6640625" customWidth="1"/>
    <col min="20" max="20" width="2.6640625" customWidth="1"/>
    <col min="21" max="21" width="8" customWidth="1"/>
    <col min="22" max="22" width="5.77734375" customWidth="1"/>
    <col min="23" max="24" width="8" customWidth="1"/>
    <col min="25" max="25" width="4.6640625" customWidth="1"/>
    <col min="26" max="26" width="2.6640625" customWidth="1"/>
    <col min="27" max="28" width="8" customWidth="1"/>
    <col min="29" max="29" width="4.6640625" customWidth="1"/>
    <col min="30" max="30" width="8" customWidth="1"/>
    <col min="31" max="31" width="4.6640625" customWidth="1"/>
    <col min="32" max="33" width="8" customWidth="1"/>
    <col min="34" max="34" width="5.77734375" customWidth="1"/>
  </cols>
  <sheetData>
    <row r="1" spans="2:8" x14ac:dyDescent="0.25">
      <c r="B1" t="s">
        <v>42</v>
      </c>
      <c r="C1" t="s">
        <v>43</v>
      </c>
      <c r="D1" s="2" t="s">
        <v>44</v>
      </c>
      <c r="E1" s="2" t="s">
        <v>45</v>
      </c>
      <c r="F1" s="2" t="s">
        <v>49</v>
      </c>
    </row>
    <row r="2" spans="2:8" x14ac:dyDescent="0.25">
      <c r="B2" t="s">
        <v>4</v>
      </c>
      <c r="C2">
        <v>3</v>
      </c>
      <c r="D2">
        <v>4</v>
      </c>
      <c r="E2">
        <v>3</v>
      </c>
      <c r="F2">
        <f t="shared" ref="F2:F17" si="0">STDEV(C2:E2)</f>
        <v>0.57735026918962473</v>
      </c>
    </row>
    <row r="3" spans="2:8" x14ac:dyDescent="0.25">
      <c r="B3" t="s">
        <v>0</v>
      </c>
      <c r="C3">
        <v>4</v>
      </c>
      <c r="D3">
        <v>4</v>
      </c>
      <c r="E3">
        <v>3</v>
      </c>
      <c r="F3">
        <f t="shared" si="0"/>
        <v>0.57735026918962473</v>
      </c>
    </row>
    <row r="4" spans="2:8" x14ac:dyDescent="0.25">
      <c r="B4" t="s">
        <v>9</v>
      </c>
      <c r="C4">
        <v>4</v>
      </c>
      <c r="D4">
        <v>4</v>
      </c>
      <c r="E4">
        <v>3</v>
      </c>
      <c r="F4">
        <f t="shared" si="0"/>
        <v>0.57735026918962473</v>
      </c>
    </row>
    <row r="5" spans="2:8" x14ac:dyDescent="0.25">
      <c r="B5" t="s">
        <v>6</v>
      </c>
      <c r="C5">
        <v>3</v>
      </c>
      <c r="D5">
        <v>2</v>
      </c>
      <c r="E5">
        <v>2</v>
      </c>
      <c r="F5">
        <f t="shared" si="0"/>
        <v>0.57735026918962629</v>
      </c>
      <c r="G5" s="3" t="s">
        <v>46</v>
      </c>
      <c r="H5" t="s">
        <v>48</v>
      </c>
    </row>
    <row r="6" spans="2:8" x14ac:dyDescent="0.25">
      <c r="B6" t="s">
        <v>3</v>
      </c>
      <c r="C6">
        <v>2</v>
      </c>
      <c r="D6">
        <v>3</v>
      </c>
      <c r="E6">
        <v>2</v>
      </c>
      <c r="F6">
        <f t="shared" si="0"/>
        <v>0.57735026918962629</v>
      </c>
      <c r="G6" s="4">
        <v>2</v>
      </c>
      <c r="H6" s="5">
        <v>0.3125</v>
      </c>
    </row>
    <row r="7" spans="2:8" x14ac:dyDescent="0.25">
      <c r="B7" t="s">
        <v>13</v>
      </c>
      <c r="C7">
        <v>2</v>
      </c>
      <c r="D7">
        <v>2</v>
      </c>
      <c r="E7">
        <v>3</v>
      </c>
      <c r="F7">
        <f t="shared" si="0"/>
        <v>0.57735026918962629</v>
      </c>
      <c r="G7" s="4">
        <v>3</v>
      </c>
      <c r="H7" s="5">
        <v>0.3125</v>
      </c>
    </row>
    <row r="8" spans="2:8" x14ac:dyDescent="0.25">
      <c r="B8" t="s">
        <v>14</v>
      </c>
      <c r="C8">
        <v>5</v>
      </c>
      <c r="D8">
        <v>5</v>
      </c>
      <c r="E8">
        <v>4</v>
      </c>
      <c r="F8">
        <f t="shared" si="0"/>
        <v>0.57735026918962784</v>
      </c>
      <c r="G8" s="4">
        <v>4</v>
      </c>
      <c r="H8" s="5">
        <v>0.1875</v>
      </c>
    </row>
    <row r="9" spans="2:8" x14ac:dyDescent="0.25">
      <c r="B9" t="s">
        <v>12</v>
      </c>
      <c r="C9">
        <v>2</v>
      </c>
      <c r="D9">
        <v>4</v>
      </c>
      <c r="E9">
        <v>3</v>
      </c>
      <c r="F9">
        <f t="shared" si="0"/>
        <v>1</v>
      </c>
      <c r="G9" s="4">
        <v>5</v>
      </c>
      <c r="H9" s="5">
        <v>0.1875</v>
      </c>
    </row>
    <row r="10" spans="2:8" x14ac:dyDescent="0.25">
      <c r="B10" t="s">
        <v>15</v>
      </c>
      <c r="C10">
        <v>2</v>
      </c>
      <c r="D10">
        <v>4</v>
      </c>
      <c r="E10">
        <v>3</v>
      </c>
      <c r="F10">
        <f t="shared" si="0"/>
        <v>1</v>
      </c>
      <c r="G10" s="4" t="s">
        <v>47</v>
      </c>
      <c r="H10" s="5">
        <v>1</v>
      </c>
    </row>
    <row r="11" spans="2:8" x14ac:dyDescent="0.25">
      <c r="B11" t="s">
        <v>10</v>
      </c>
      <c r="C11">
        <v>3</v>
      </c>
      <c r="D11">
        <v>4</v>
      </c>
      <c r="E11">
        <v>5</v>
      </c>
      <c r="F11">
        <f t="shared" si="0"/>
        <v>1</v>
      </c>
    </row>
    <row r="12" spans="2:8" x14ac:dyDescent="0.25">
      <c r="B12" t="s">
        <v>8</v>
      </c>
      <c r="C12">
        <v>3</v>
      </c>
      <c r="D12">
        <v>4</v>
      </c>
      <c r="E12">
        <v>5</v>
      </c>
      <c r="F12">
        <f t="shared" si="0"/>
        <v>1</v>
      </c>
    </row>
    <row r="13" spans="2:8" x14ac:dyDescent="0.25">
      <c r="B13" t="s">
        <v>7</v>
      </c>
      <c r="C13">
        <v>4</v>
      </c>
      <c r="D13">
        <v>4</v>
      </c>
      <c r="E13">
        <v>2</v>
      </c>
      <c r="F13">
        <f t="shared" si="0"/>
        <v>1.154700538379251</v>
      </c>
    </row>
    <row r="14" spans="2:8" x14ac:dyDescent="0.25">
      <c r="B14" t="s">
        <v>2</v>
      </c>
      <c r="C14">
        <v>3</v>
      </c>
      <c r="D14">
        <v>5</v>
      </c>
      <c r="E14">
        <v>3</v>
      </c>
      <c r="F14">
        <f t="shared" si="0"/>
        <v>1.154700538379251</v>
      </c>
    </row>
    <row r="15" spans="2:8" x14ac:dyDescent="0.25">
      <c r="B15" t="s">
        <v>41</v>
      </c>
      <c r="C15">
        <v>5</v>
      </c>
      <c r="D15">
        <v>4</v>
      </c>
      <c r="E15">
        <v>2</v>
      </c>
      <c r="F15">
        <f t="shared" si="0"/>
        <v>1.5275252316519463</v>
      </c>
    </row>
    <row r="16" spans="2:8" x14ac:dyDescent="0.25">
      <c r="B16" t="s">
        <v>5</v>
      </c>
      <c r="C16">
        <v>5</v>
      </c>
      <c r="D16">
        <v>4</v>
      </c>
      <c r="E16">
        <v>2</v>
      </c>
      <c r="F16">
        <f t="shared" si="0"/>
        <v>1.5275252316519463</v>
      </c>
    </row>
    <row r="17" spans="2:6" x14ac:dyDescent="0.25">
      <c r="B17" t="s">
        <v>1</v>
      </c>
      <c r="C17">
        <v>2</v>
      </c>
      <c r="D17">
        <v>5</v>
      </c>
      <c r="E17">
        <v>5</v>
      </c>
      <c r="F17">
        <f t="shared" si="0"/>
        <v>1.7320508075688772</v>
      </c>
    </row>
  </sheetData>
  <autoFilter ref="B1:F1">
    <sortState ref="B2:F17">
      <sortCondition ref="F1"/>
    </sortState>
  </autoFilter>
  <phoneticPr fontId="2" type="noConversion"/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F18"/>
  <sheetViews>
    <sheetView workbookViewId="0">
      <selection activeCell="H29" sqref="H29"/>
    </sheetView>
  </sheetViews>
  <sheetFormatPr defaultRowHeight="14.4" x14ac:dyDescent="0.25"/>
  <cols>
    <col min="6" max="6" width="11.6640625" bestFit="1" customWidth="1"/>
  </cols>
  <sheetData>
    <row r="2" spans="3:6" x14ac:dyDescent="0.25">
      <c r="C2" t="s">
        <v>42</v>
      </c>
      <c r="D2" s="2" t="s">
        <v>50</v>
      </c>
      <c r="E2" s="2" t="s">
        <v>52</v>
      </c>
      <c r="F2" s="2" t="s">
        <v>51</v>
      </c>
    </row>
    <row r="3" spans="3:6" x14ac:dyDescent="0.25">
      <c r="C3" t="s">
        <v>1</v>
      </c>
      <c r="D3">
        <v>2</v>
      </c>
      <c r="E3">
        <v>2</v>
      </c>
      <c r="F3">
        <f>D3/SUM($D$3:$D$18)</f>
        <v>3.1746031746031744E-2</v>
      </c>
    </row>
    <row r="4" spans="3:6" x14ac:dyDescent="0.25">
      <c r="C4" t="s">
        <v>13</v>
      </c>
      <c r="D4">
        <v>2</v>
      </c>
      <c r="E4">
        <v>2</v>
      </c>
      <c r="F4">
        <f>D4/SUM($D$3:$D$18)</f>
        <v>3.1746031746031744E-2</v>
      </c>
    </row>
    <row r="5" spans="3:6" x14ac:dyDescent="0.25">
      <c r="C5" t="s">
        <v>12</v>
      </c>
      <c r="D5">
        <v>2</v>
      </c>
      <c r="E5">
        <v>2</v>
      </c>
      <c r="F5">
        <f>D5/SUM($D$3:$D$18)</f>
        <v>3.1746031746031744E-2</v>
      </c>
    </row>
    <row r="6" spans="3:6" x14ac:dyDescent="0.25">
      <c r="C6" t="s">
        <v>10</v>
      </c>
      <c r="D6">
        <v>3</v>
      </c>
      <c r="E6">
        <v>3</v>
      </c>
      <c r="F6">
        <f>D6/SUM($D$3:$D$18)</f>
        <v>4.7619047619047616E-2</v>
      </c>
    </row>
    <row r="7" spans="3:6" x14ac:dyDescent="0.25">
      <c r="C7" t="s">
        <v>6</v>
      </c>
      <c r="D7">
        <v>3</v>
      </c>
      <c r="E7">
        <v>3</v>
      </c>
      <c r="F7">
        <f>D7/SUM($D$3:$D$18)</f>
        <v>4.7619047619047616E-2</v>
      </c>
    </row>
    <row r="8" spans="3:6" x14ac:dyDescent="0.25">
      <c r="C8" t="s">
        <v>2</v>
      </c>
      <c r="D8">
        <v>3</v>
      </c>
      <c r="E8">
        <v>3</v>
      </c>
      <c r="F8">
        <f>D8/SUM($D$3:$D$18)</f>
        <v>4.7619047619047616E-2</v>
      </c>
    </row>
    <row r="9" spans="3:6" x14ac:dyDescent="0.25">
      <c r="C9" t="s">
        <v>8</v>
      </c>
      <c r="D9">
        <v>3</v>
      </c>
      <c r="E9">
        <v>3</v>
      </c>
      <c r="F9">
        <f>D9/SUM($D$3:$D$18)</f>
        <v>4.7619047619047616E-2</v>
      </c>
    </row>
    <row r="10" spans="3:6" x14ac:dyDescent="0.25">
      <c r="C10" t="s">
        <v>4</v>
      </c>
      <c r="D10">
        <v>3</v>
      </c>
      <c r="E10">
        <v>3</v>
      </c>
      <c r="F10">
        <f>D10/SUM($D$3:$D$18)</f>
        <v>4.7619047619047616E-2</v>
      </c>
    </row>
    <row r="11" spans="3:6" x14ac:dyDescent="0.25">
      <c r="C11" t="s">
        <v>0</v>
      </c>
      <c r="D11">
        <v>4</v>
      </c>
      <c r="E11">
        <v>4</v>
      </c>
      <c r="F11">
        <f>D11/SUM($D$3:$D$18)</f>
        <v>6.3492063492063489E-2</v>
      </c>
    </row>
    <row r="12" spans="3:6" x14ac:dyDescent="0.25">
      <c r="C12" t="s">
        <v>9</v>
      </c>
      <c r="D12">
        <v>4</v>
      </c>
      <c r="E12">
        <v>4</v>
      </c>
      <c r="F12">
        <f>D12/SUM($D$3:$D$18)</f>
        <v>6.3492063492063489E-2</v>
      </c>
    </row>
    <row r="13" spans="3:6" x14ac:dyDescent="0.25">
      <c r="C13" t="s">
        <v>7</v>
      </c>
      <c r="D13">
        <v>4</v>
      </c>
      <c r="E13">
        <v>4</v>
      </c>
      <c r="F13">
        <f>D13/SUM($D$3:$D$18)</f>
        <v>6.3492063492063489E-2</v>
      </c>
    </row>
    <row r="14" spans="3:6" x14ac:dyDescent="0.25">
      <c r="C14" t="s">
        <v>14</v>
      </c>
      <c r="D14">
        <v>5</v>
      </c>
      <c r="E14">
        <v>5</v>
      </c>
      <c r="F14">
        <f>D14/SUM($D$3:$D$18)</f>
        <v>7.9365079365079361E-2</v>
      </c>
    </row>
    <row r="15" spans="3:6" x14ac:dyDescent="0.25">
      <c r="C15" t="s">
        <v>41</v>
      </c>
      <c r="D15">
        <v>5</v>
      </c>
      <c r="E15">
        <v>5</v>
      </c>
      <c r="F15">
        <f>D15/SUM($D$3:$D$18)</f>
        <v>7.9365079365079361E-2</v>
      </c>
    </row>
    <row r="16" spans="3:6" x14ac:dyDescent="0.25">
      <c r="C16" t="s">
        <v>5</v>
      </c>
      <c r="D16">
        <v>5</v>
      </c>
      <c r="E16">
        <v>5</v>
      </c>
      <c r="F16">
        <f>D16/SUM($D$3:$D$18)</f>
        <v>7.9365079365079361E-2</v>
      </c>
    </row>
    <row r="17" spans="3:6" x14ac:dyDescent="0.25">
      <c r="C17" t="s">
        <v>15</v>
      </c>
      <c r="D17">
        <v>7</v>
      </c>
      <c r="E17">
        <v>7</v>
      </c>
      <c r="F17">
        <f>D17/SUM($D$3:$D$18)</f>
        <v>0.1111111111111111</v>
      </c>
    </row>
    <row r="18" spans="3:6" x14ac:dyDescent="0.25">
      <c r="C18" t="s">
        <v>3</v>
      </c>
      <c r="D18">
        <v>8</v>
      </c>
      <c r="E18">
        <v>8</v>
      </c>
      <c r="F18">
        <f>D18/SUM($D$3:$D$18)</f>
        <v>0.12698412698412698</v>
      </c>
    </row>
  </sheetData>
  <sortState ref="C3:F18">
    <sortCondition ref="D3"/>
  </sortState>
  <phoneticPr fontId="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L14"/>
  <sheetViews>
    <sheetView tabSelected="1" workbookViewId="0">
      <selection activeCell="D20" sqref="D20"/>
    </sheetView>
  </sheetViews>
  <sheetFormatPr defaultRowHeight="14.4" x14ac:dyDescent="0.25"/>
  <sheetData>
    <row r="2" spans="2:12" x14ac:dyDescent="0.25">
      <c r="B2" s="2" t="s">
        <v>53</v>
      </c>
      <c r="C2" s="2" t="s">
        <v>66</v>
      </c>
      <c r="D2" s="2" t="s">
        <v>67</v>
      </c>
      <c r="E2" s="2" t="s">
        <v>68</v>
      </c>
      <c r="F2" s="2" t="s">
        <v>69</v>
      </c>
      <c r="G2" s="2" t="s">
        <v>70</v>
      </c>
      <c r="H2" s="2"/>
      <c r="I2" s="2"/>
      <c r="J2" s="2"/>
      <c r="K2" s="2"/>
      <c r="L2" s="2"/>
    </row>
    <row r="3" spans="2:12" x14ac:dyDescent="0.25">
      <c r="B3" s="2" t="s">
        <v>54</v>
      </c>
      <c r="C3">
        <v>2</v>
      </c>
      <c r="D3">
        <v>3</v>
      </c>
      <c r="E3">
        <v>4</v>
      </c>
      <c r="F3">
        <v>3</v>
      </c>
      <c r="G3">
        <v>2</v>
      </c>
    </row>
    <row r="4" spans="2:12" x14ac:dyDescent="0.25">
      <c r="B4" s="2" t="s">
        <v>55</v>
      </c>
      <c r="C4">
        <v>1</v>
      </c>
      <c r="D4">
        <v>2</v>
      </c>
      <c r="E4">
        <v>3</v>
      </c>
      <c r="F4">
        <v>5</v>
      </c>
      <c r="G4">
        <v>4</v>
      </c>
    </row>
    <row r="5" spans="2:12" x14ac:dyDescent="0.25">
      <c r="B5" s="2" t="s">
        <v>56</v>
      </c>
      <c r="C5">
        <v>3</v>
      </c>
      <c r="D5">
        <v>3</v>
      </c>
      <c r="E5">
        <v>2</v>
      </c>
      <c r="F5">
        <v>2</v>
      </c>
      <c r="G5">
        <v>1</v>
      </c>
    </row>
    <row r="6" spans="2:12" x14ac:dyDescent="0.25">
      <c r="B6" s="2" t="s">
        <v>57</v>
      </c>
      <c r="C6">
        <v>2</v>
      </c>
      <c r="D6">
        <v>2</v>
      </c>
      <c r="E6">
        <v>2</v>
      </c>
      <c r="F6">
        <v>3</v>
      </c>
      <c r="G6">
        <v>2</v>
      </c>
    </row>
    <row r="7" spans="2:12" x14ac:dyDescent="0.25">
      <c r="B7" s="2" t="s">
        <v>58</v>
      </c>
      <c r="C7">
        <v>1</v>
      </c>
      <c r="D7">
        <v>2</v>
      </c>
      <c r="E7">
        <v>3</v>
      </c>
      <c r="F7">
        <v>2</v>
      </c>
      <c r="G7">
        <v>1</v>
      </c>
    </row>
    <row r="8" spans="2:12" x14ac:dyDescent="0.25">
      <c r="B8" s="2" t="s">
        <v>59</v>
      </c>
      <c r="C8">
        <v>2</v>
      </c>
      <c r="D8">
        <v>2</v>
      </c>
      <c r="E8">
        <v>3</v>
      </c>
      <c r="F8">
        <v>3</v>
      </c>
      <c r="G8">
        <v>1</v>
      </c>
    </row>
    <row r="9" spans="2:12" x14ac:dyDescent="0.25">
      <c r="B9" s="2" t="s">
        <v>60</v>
      </c>
      <c r="C9">
        <v>3</v>
      </c>
      <c r="D9">
        <v>3</v>
      </c>
      <c r="E9">
        <v>2</v>
      </c>
      <c r="F9">
        <v>2</v>
      </c>
      <c r="G9">
        <v>2</v>
      </c>
    </row>
    <row r="10" spans="2:12" x14ac:dyDescent="0.25">
      <c r="B10" s="2" t="s">
        <v>61</v>
      </c>
      <c r="C10">
        <v>2</v>
      </c>
      <c r="D10">
        <v>2</v>
      </c>
      <c r="E10">
        <v>2</v>
      </c>
      <c r="F10">
        <v>2</v>
      </c>
      <c r="G10">
        <v>2</v>
      </c>
    </row>
    <row r="11" spans="2:12" x14ac:dyDescent="0.25">
      <c r="B11" s="2" t="s">
        <v>62</v>
      </c>
      <c r="C11">
        <v>2</v>
      </c>
      <c r="D11">
        <v>1</v>
      </c>
      <c r="E11">
        <v>1</v>
      </c>
      <c r="F11">
        <v>3</v>
      </c>
      <c r="G11">
        <v>3</v>
      </c>
    </row>
    <row r="12" spans="2:12" x14ac:dyDescent="0.25">
      <c r="B12" s="2" t="s">
        <v>63</v>
      </c>
      <c r="C12">
        <v>3</v>
      </c>
      <c r="D12">
        <v>3</v>
      </c>
      <c r="E12">
        <v>3</v>
      </c>
      <c r="F12">
        <v>2</v>
      </c>
      <c r="G12">
        <v>1</v>
      </c>
    </row>
    <row r="13" spans="2:12" x14ac:dyDescent="0.25">
      <c r="B13" s="2" t="s">
        <v>64</v>
      </c>
      <c r="C13">
        <v>1</v>
      </c>
      <c r="D13">
        <v>1</v>
      </c>
      <c r="E13">
        <v>1</v>
      </c>
      <c r="F13">
        <v>2</v>
      </c>
      <c r="G13">
        <v>2</v>
      </c>
    </row>
    <row r="14" spans="2:12" x14ac:dyDescent="0.25">
      <c r="B14" s="2" t="s">
        <v>65</v>
      </c>
      <c r="C14">
        <v>3</v>
      </c>
      <c r="D14">
        <v>3</v>
      </c>
      <c r="E14">
        <v>3</v>
      </c>
      <c r="F14">
        <v>3</v>
      </c>
      <c r="G14">
        <v>2</v>
      </c>
    </row>
  </sheetData>
  <phoneticPr fontId="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邮箱</vt:lpstr>
      <vt:lpstr>电话</vt:lpstr>
      <vt:lpstr>姓名</vt:lpstr>
      <vt:lpstr>部门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周敬</dc:creator>
  <cp:lastModifiedBy>周敬</cp:lastModifiedBy>
  <dcterms:created xsi:type="dcterms:W3CDTF">2024-05-09T09:13:00Z</dcterms:created>
  <dcterms:modified xsi:type="dcterms:W3CDTF">2024-05-17T06:22:52Z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D82AE814C4F7433E9697E3D06BF066CF_12</vt:lpwstr>
  </property>
  <property fmtid="{D5CDD505-2E9C-101B-9397-08002B2CF9AE}" pid="3" name="KSOProductBuildVer">
    <vt:lpwstr>1033-12.2.0.16909</vt:lpwstr>
  </property>
</Properties>
</file>